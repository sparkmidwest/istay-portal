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ng Expenses" sheetId="1" state="visible" r:id="rId3"/>
    <sheet name="Reimbursable Co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<sst xmlns="http://schemas.openxmlformats.org/spreadsheetml/2006/main" count="131" uniqueCount="104">
  <si>
    <t xml:space="preserve">I STAY TRUCKING / 614 MANAGEMENT — OPERATING EXPENSES &amp; SALARY</t>
  </si>
  <si>
    <t xml:space="preserve">Monthly operating cost model — management &amp; consulting company. Blue = inputs you set.</t>
  </si>
  <si>
    <t xml:space="preserve">Category / Line Item</t>
  </si>
  <si>
    <t xml:space="preserve">Monthly</t>
  </si>
  <si>
    <t xml:space="preserve">Annual</t>
  </si>
  <si>
    <t xml:space="preserve">% of Total</t>
  </si>
  <si>
    <t xml:space="preserve">Notes / Basis</t>
  </si>
  <si>
    <t xml:space="preserve">PAYROLL &amp; MANAGEMENT</t>
  </si>
  <si>
    <t xml:space="preserve">CFO/COO salary (W-2, reasonable comp)</t>
  </si>
  <si>
    <t xml:space="preserve">Reasonable salary for S-corp; CPA to confirm</t>
  </si>
  <si>
    <t xml:space="preserve">Payroll taxes &amp; benefits (~12%)</t>
  </si>
  <si>
    <t xml:space="preserve">Employer FICA, etc.</t>
  </si>
  <si>
    <t xml:space="preserve">Contractor / admin help</t>
  </si>
  <si>
    <t xml:space="preserve">As needed</t>
  </si>
  <si>
    <t xml:space="preserve">SOFTWARE &amp; TECH</t>
  </si>
  <si>
    <t xml:space="preserve">Claude (Anthropic) subscription</t>
  </si>
  <si>
    <t xml:space="preserve">AI — docs, portal assistant, extraction</t>
  </si>
  <si>
    <t xml:space="preserve">Vercel hosting</t>
  </si>
  <si>
    <t xml:space="preserve">Portal + driver upload hosting</t>
  </si>
  <si>
    <t xml:space="preserve">Supabase (database)</t>
  </si>
  <si>
    <t xml:space="preserve">CRM / ledger backend</t>
  </si>
  <si>
    <t xml:space="preserve">GitHub</t>
  </si>
  <si>
    <t xml:space="preserve">Code repository</t>
  </si>
  <si>
    <t xml:space="preserve">QuickBooks / accounting software</t>
  </si>
  <si>
    <t xml:space="preserve">Books per entity</t>
  </si>
  <si>
    <t xml:space="preserve">Google Workspace / email</t>
  </si>
  <si>
    <t xml:space="preserve">Business email, 2 users</t>
  </si>
  <si>
    <t xml:space="preserve">Domain &amp; misc SaaS</t>
  </si>
  <si>
    <t xml:space="preserve">Domain, DocuSign, etc.</t>
  </si>
  <si>
    <t xml:space="preserve">OFFICE &amp; OPERATIONS</t>
  </si>
  <si>
    <t xml:space="preserve">Printer / ink / toner</t>
  </si>
  <si>
    <t xml:space="preserve">Consumables</t>
  </si>
  <si>
    <t xml:space="preserve">Postage &amp; shipping</t>
  </si>
  <si>
    <t xml:space="preserve">Dispute mailings, contracts</t>
  </si>
  <si>
    <t xml:space="preserve">Office supplies (paper, etc.)</t>
  </si>
  <si>
    <t xml:space="preserve">Phone &amp; internet</t>
  </si>
  <si>
    <t xml:space="preserve">Business lines + internet</t>
  </si>
  <si>
    <t xml:space="preserve">Physical office / inspection space + mail collection</t>
  </si>
  <si>
    <t xml:space="preserve">FMCSA needs a physical place for audits/inspections; virtual $69 insufficient</t>
  </si>
  <si>
    <t xml:space="preserve">PROFESSIONAL &amp; COMPLIANCE</t>
  </si>
  <si>
    <t xml:space="preserve">Legal (retainer / as needed)</t>
  </si>
  <si>
    <t xml:space="preserve">Counsel review, contracts</t>
  </si>
  <si>
    <t xml:space="preserve">Accounting / tax prep</t>
  </si>
  <si>
    <t xml:space="preserve">CPA, annual filings amortized</t>
  </si>
  <si>
    <t xml:space="preserve">Business insurance (GL/E&amp;O)</t>
  </si>
  <si>
    <t xml:space="preserve">Management co. coverage</t>
  </si>
  <si>
    <t xml:space="preserve">Bank / merchant / processing fees</t>
  </si>
  <si>
    <t xml:space="preserve">Card processing, wires</t>
  </si>
  <si>
    <t xml:space="preserve">MARKETING &amp; GROWTH</t>
  </si>
  <si>
    <t xml:space="preserve">Marketing / ads / content</t>
  </si>
  <si>
    <t xml:space="preserve">Package sales, social</t>
  </si>
  <si>
    <t xml:space="preserve">Website / portal upkeep</t>
  </si>
  <si>
    <t xml:space="preserve">TOTAL OPERATING EXPENSES</t>
  </si>
  <si>
    <t xml:space="preserve">NAOMI JACKSON — REIMBURSABLE COSTS / EXPENSE BILLING</t>
  </si>
  <si>
    <t xml:space="preserve">Out-of-pocket costs fronted on behalf of the companies — to be reimbursed. Blue = inputs.</t>
  </si>
  <si>
    <t xml:space="preserve">Date</t>
  </si>
  <si>
    <t xml:space="preserve">Description</t>
  </si>
  <si>
    <t xml:space="preserve">Category</t>
  </si>
  <si>
    <t xml:space="preserve">Qty/Mo</t>
  </si>
  <si>
    <t xml:space="preserve">Amount</t>
  </si>
  <si>
    <t xml:space="preserve">Bill To</t>
  </si>
  <si>
    <t xml:space="preserve">Ongoing</t>
  </si>
  <si>
    <t xml:space="preserve">Claude (Anthropic) — AI for docs, portal, extraction</t>
  </si>
  <si>
    <t xml:space="preserve">Software</t>
  </si>
  <si>
    <t xml:space="preserve">I Stay Trucking</t>
  </si>
  <si>
    <t xml:space="preserve">Vercel — portal &amp; driver-upload hosting</t>
  </si>
  <si>
    <t xml:space="preserve">Supabase — CRM/ledger database</t>
  </si>
  <si>
    <t xml:space="preserve">GitHub — code repository</t>
  </si>
  <si>
    <t xml:space="preserve">As used</t>
  </si>
  <si>
    <t xml:space="preserve">Postage &amp; certified mail (disputes, contracts)</t>
  </si>
  <si>
    <t xml:space="preserve">Postage</t>
  </si>
  <si>
    <t xml:space="preserve">Per company</t>
  </si>
  <si>
    <t xml:space="preserve">Printer ink / toner</t>
  </si>
  <si>
    <t xml:space="preserve">Office</t>
  </si>
  <si>
    <t xml:space="preserve">614 Management</t>
  </si>
  <si>
    <t xml:space="preserve">Printer (equipment)</t>
  </si>
  <si>
    <t xml:space="preserve">Equipment</t>
  </si>
  <si>
    <t xml:space="preserve">Paper &amp; printing supplies</t>
  </si>
  <si>
    <t xml:space="preserve">Gas / mileage (filing, meetings, errands)</t>
  </si>
  <si>
    <t xml:space="preserve">Travel</t>
  </si>
  <si>
    <t xml:space="preserve">TOTAL REIMBURSABLE</t>
  </si>
  <si>
    <t xml:space="preserve">Software subscriptions are monthly recurring; equipment &amp; supplies are one-time or as-used. Reimbursed at cost, billed to the relevant company.</t>
  </si>
  <si>
    <t xml:space="preserve">SERVICES BILLED TO COMPANIES — CFO/COO + CREDIT BUILD (revenue owed to 614 Management)</t>
  </si>
  <si>
    <t xml:space="preserve">Service</t>
  </si>
  <si>
    <t xml:space="preserve">Company</t>
  </si>
  <si>
    <t xml:space="preserve">Frequency</t>
  </si>
  <si>
    <t xml:space="preserve">Status</t>
  </si>
  <si>
    <t xml:space="preserve">CFO/COO management retainer</t>
  </si>
  <si>
    <t xml:space="preserve">50/50 w/ Sheikh (co-mgmt)</t>
  </si>
  <si>
    <t xml:space="preserve">I Stay Famous</t>
  </si>
  <si>
    <t xml:space="preserve">Per JV / set</t>
  </si>
  <si>
    <t xml:space="preserve">PRG (per entity)</t>
  </si>
  <si>
    <t xml:space="preserve">Business credit build retainer</t>
  </si>
  <si>
    <t xml:space="preserve">Retainer</t>
  </si>
  <si>
    <t xml:space="preserve">OWED</t>
  </si>
  <si>
    <t xml:space="preserve">Per additional company</t>
  </si>
  <si>
    <t xml:space="preserve">Per build</t>
  </si>
  <si>
    <t xml:space="preserve">Per engagement</t>
  </si>
  <si>
    <t xml:space="preserve">Per additional truck — mgmt add-on</t>
  </si>
  <si>
    <t xml:space="preserve">I Stay Trucking fleet</t>
  </si>
  <si>
    <t xml:space="preserve">Monthly/truck</t>
  </si>
  <si>
    <t xml:space="preserve">Truck #2 added</t>
  </si>
  <si>
    <t xml:space="preserve">TOTAL MONTHLY CFO/COO RETAINERS</t>
  </si>
  <si>
    <t xml:space="preserve">IST/PRG CFO/COO fee ($5,000/mo, +$2,500 per added truck) is CO-MANAGED — split 50/50 with Sheikh ($2,500 each). I Stay Famous &amp; outside clients: full fee to 614 unless set otherwise.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</si>
</sst>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B645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4A78"/>
      </patternFill>
    </fill>
    <fill>
      <patternFill patternType="solid">
        <fgColor rgb="FFF4ECD8"/>
        <bgColor rgb="FFFBF6E9"/>
      </patternFill>
    </fill>
    <fill>
      <patternFill patternType="solid">
        <fgColor rgb="FF2E4A78"/>
        <bgColor rgb="FF1F3864"/>
      </patternFill>
    </fill>
    <fill>
      <patternFill patternType="solid">
        <fgColor rgb="FFFBF6E9"/>
        <bgColor rgb="FFF4EC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6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C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0"/>
      <rgbColor rgb="FF969696"/>
      <rgbColor rgb="FF1F3864"/>
      <rgbColor rgb="FF339966"/>
      <rgbColor rgb="FF003300"/>
      <rgbColor rgb="FF333300"/>
      <rgbColor rgb="FF993300"/>
      <rgbColor rgb="FF993366"/>
      <rgbColor rgb="FF2E4A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6"/>
    <col collapsed="false" customWidth="true" hidden="false" outlineLevel="0" max="6" min="6" style="1" width="30"/>
  </cols>
  <sheetData>
    <row r="1" customFormat="false" ht="25.5" hidden="false" customHeight="true" outlineLevel="0" collapsed="false">
      <c r="B1" s="2" t="s">
        <v>0</v>
      </c>
      <c r="C1" s="2"/>
      <c r="D1" s="2"/>
      <c r="E1" s="2"/>
      <c r="F1" s="2"/>
    </row>
    <row r="2" customFormat="false" ht="15" hidden="false" customHeight="true" outlineLevel="0" collapsed="false">
      <c r="B2" s="3" t="s">
        <v>1</v>
      </c>
      <c r="C2" s="3"/>
      <c r="D2" s="3"/>
      <c r="E2" s="3"/>
      <c r="F2" s="3"/>
    </row>
    <row r="4" customFormat="false" ht="21.75" hidden="false" customHeight="true" outlineLevel="0" collapsed="false">
      <c r="B4" s="4" t="s">
        <v>2</v>
      </c>
      <c r="C4" s="5" t="s">
        <v>3</v>
      </c>
      <c r="D4" s="5" t="s">
        <v>4</v>
      </c>
      <c r="E4" s="5" t="s">
        <v>5</v>
      </c>
      <c r="F4" s="4" t="s">
        <v>6</v>
      </c>
    </row>
    <row r="5" customFormat="false" ht="15" hidden="false" customHeight="true" outlineLevel="0" collapsed="false">
      <c r="B5" s="6" t="s">
        <v>7</v>
      </c>
      <c r="C5" s="6"/>
      <c r="D5" s="6"/>
      <c r="E5" s="6"/>
      <c r="F5" s="6"/>
    </row>
    <row r="6" customFormat="false" ht="15" hidden="false" customHeight="true" outlineLevel="0" collapsed="false">
      <c r="B6" s="7" t="s">
        <v>8</v>
      </c>
      <c r="C6" s="8" t="n">
        <v>6500</v>
      </c>
      <c r="D6" s="9" t="n">
        <f aca="false">C6*12</f>
        <v>78000</v>
      </c>
      <c r="E6" s="10" t="n">
        <f aca="false">IF($C$32=0,0,C6/$C$32)</f>
        <v>0</v>
      </c>
      <c r="F6" s="11" t="s">
        <v>9</v>
      </c>
    </row>
    <row r="7" customFormat="false" ht="15" hidden="false" customHeight="true" outlineLevel="0" collapsed="false">
      <c r="B7" s="7" t="s">
        <v>10</v>
      </c>
      <c r="C7" s="8" t="n">
        <f aca="false">C6*0.12</f>
        <v>780</v>
      </c>
      <c r="D7" s="9" t="n">
        <f aca="false">C7*12</f>
        <v>9360</v>
      </c>
      <c r="E7" s="10" t="n">
        <f aca="false">IF($C$32=0,0,C7/$C$32)</f>
        <v>0</v>
      </c>
      <c r="F7" s="11" t="s">
        <v>11</v>
      </c>
    </row>
    <row r="8" customFormat="false" ht="15" hidden="false" customHeight="true" outlineLevel="0" collapsed="false">
      <c r="B8" s="7" t="s">
        <v>12</v>
      </c>
      <c r="C8" s="8" t="n">
        <v>500</v>
      </c>
      <c r="D8" s="9" t="n">
        <f aca="false">C8*12</f>
        <v>6000</v>
      </c>
      <c r="E8" s="10" t="n">
        <f aca="false">IF($C$32=0,0,C8/$C$32)</f>
        <v>0</v>
      </c>
      <c r="F8" s="11" t="s">
        <v>13</v>
      </c>
    </row>
    <row r="9" customFormat="false" ht="15" hidden="false" customHeight="true" outlineLevel="0" collapsed="false">
      <c r="B9" s="6" t="s">
        <v>14</v>
      </c>
      <c r="C9" s="6"/>
      <c r="D9" s="6"/>
      <c r="E9" s="6"/>
      <c r="F9" s="6"/>
    </row>
    <row r="10" customFormat="false" ht="15" hidden="false" customHeight="true" outlineLevel="0" collapsed="false">
      <c r="B10" s="7" t="s">
        <v>15</v>
      </c>
      <c r="C10" s="8" t="n">
        <v>120</v>
      </c>
      <c r="D10" s="9" t="n">
        <f aca="false">C10*12</f>
        <v>1440</v>
      </c>
      <c r="E10" s="10" t="n">
        <f aca="false">IF($C$32=0,0,C10/$C$32)</f>
        <v>0</v>
      </c>
      <c r="F10" s="11" t="s">
        <v>16</v>
      </c>
    </row>
    <row r="11" customFormat="false" ht="15" hidden="false" customHeight="true" outlineLevel="0" collapsed="false">
      <c r="B11" s="7" t="s">
        <v>17</v>
      </c>
      <c r="C11" s="8" t="n">
        <v>20</v>
      </c>
      <c r="D11" s="9" t="n">
        <f aca="false">C11*12</f>
        <v>240</v>
      </c>
      <c r="E11" s="10" t="n">
        <f aca="false">IF($C$32=0,0,C11/$C$32)</f>
        <v>0</v>
      </c>
      <c r="F11" s="11" t="s">
        <v>18</v>
      </c>
    </row>
    <row r="12" customFormat="false" ht="15" hidden="false" customHeight="true" outlineLevel="0" collapsed="false">
      <c r="B12" s="7" t="s">
        <v>19</v>
      </c>
      <c r="C12" s="8" t="n">
        <v>25</v>
      </c>
      <c r="D12" s="9" t="n">
        <f aca="false">C12*12</f>
        <v>300</v>
      </c>
      <c r="E12" s="10" t="n">
        <f aca="false">IF($C$32=0,0,C12/$C$32)</f>
        <v>0</v>
      </c>
      <c r="F12" s="11" t="s">
        <v>20</v>
      </c>
    </row>
    <row r="13" customFormat="false" ht="15" hidden="false" customHeight="true" outlineLevel="0" collapsed="false">
      <c r="B13" s="7" t="s">
        <v>21</v>
      </c>
      <c r="C13" s="8" t="n">
        <v>4</v>
      </c>
      <c r="D13" s="9" t="n">
        <f aca="false">C13*12</f>
        <v>48</v>
      </c>
      <c r="E13" s="10" t="n">
        <f aca="false">IF($C$32=0,0,C13/$C$32)</f>
        <v>0</v>
      </c>
      <c r="F13" s="11" t="s">
        <v>22</v>
      </c>
    </row>
    <row r="14" customFormat="false" ht="15" hidden="false" customHeight="true" outlineLevel="0" collapsed="false">
      <c r="B14" s="7" t="s">
        <v>23</v>
      </c>
      <c r="C14" s="8" t="n">
        <v>80</v>
      </c>
      <c r="D14" s="9" t="n">
        <f aca="false">C14*12</f>
        <v>960</v>
      </c>
      <c r="E14" s="10" t="n">
        <f aca="false">IF($C$32=0,0,C14/$C$32)</f>
        <v>0</v>
      </c>
      <c r="F14" s="11" t="s">
        <v>24</v>
      </c>
    </row>
    <row r="15" customFormat="false" ht="15" hidden="false" customHeight="true" outlineLevel="0" collapsed="false">
      <c r="B15" s="7" t="s">
        <v>25</v>
      </c>
      <c r="C15" s="8" t="n">
        <v>14</v>
      </c>
      <c r="D15" s="9" t="n">
        <f aca="false">C15*12</f>
        <v>168</v>
      </c>
      <c r="E15" s="10" t="n">
        <f aca="false">IF($C$32=0,0,C15/$C$32)</f>
        <v>0</v>
      </c>
      <c r="F15" s="11" t="s">
        <v>26</v>
      </c>
    </row>
    <row r="16" customFormat="false" ht="15" hidden="false" customHeight="true" outlineLevel="0" collapsed="false">
      <c r="B16" s="7" t="s">
        <v>27</v>
      </c>
      <c r="C16" s="8" t="n">
        <v>15</v>
      </c>
      <c r="D16" s="9" t="n">
        <f aca="false">C16*12</f>
        <v>180</v>
      </c>
      <c r="E16" s="10" t="n">
        <f aca="false">IF($C$32=0,0,C16/$C$32)</f>
        <v>0</v>
      </c>
      <c r="F16" s="11" t="s">
        <v>28</v>
      </c>
    </row>
    <row r="17" customFormat="false" ht="15" hidden="false" customHeight="true" outlineLevel="0" collapsed="false">
      <c r="B17" s="6" t="s">
        <v>29</v>
      </c>
      <c r="C17" s="6"/>
      <c r="D17" s="6"/>
      <c r="E17" s="6"/>
      <c r="F17" s="6"/>
    </row>
    <row r="18" customFormat="false" ht="15" hidden="false" customHeight="true" outlineLevel="0" collapsed="false">
      <c r="B18" s="7" t="s">
        <v>30</v>
      </c>
      <c r="C18" s="8" t="n">
        <v>60</v>
      </c>
      <c r="D18" s="9" t="n">
        <f aca="false">C18*12</f>
        <v>720</v>
      </c>
      <c r="E18" s="10" t="n">
        <f aca="false">IF($C$32=0,0,C18/$C$32)</f>
        <v>0</v>
      </c>
      <c r="F18" s="11" t="s">
        <v>31</v>
      </c>
    </row>
    <row r="19" customFormat="false" ht="15" hidden="false" customHeight="true" outlineLevel="0" collapsed="false">
      <c r="B19" s="7" t="s">
        <v>32</v>
      </c>
      <c r="C19" s="8" t="n">
        <v>40</v>
      </c>
      <c r="D19" s="9" t="n">
        <f aca="false">C19*12</f>
        <v>480</v>
      </c>
      <c r="E19" s="10" t="n">
        <f aca="false">IF($C$32=0,0,C19/$C$32)</f>
        <v>0</v>
      </c>
      <c r="F19" s="11" t="s">
        <v>33</v>
      </c>
    </row>
    <row r="20" customFormat="false" ht="15" hidden="false" customHeight="true" outlineLevel="0" collapsed="false">
      <c r="B20" s="7" t="s">
        <v>34</v>
      </c>
      <c r="C20" s="8" t="n">
        <v>30</v>
      </c>
      <c r="D20" s="9" t="n">
        <f aca="false">C20*12</f>
        <v>360</v>
      </c>
      <c r="E20" s="10" t="n">
        <f aca="false">IF($C$32=0,0,C20/$C$32)</f>
        <v>0</v>
      </c>
      <c r="F20" s="11"/>
    </row>
    <row r="21" customFormat="false" ht="15" hidden="false" customHeight="true" outlineLevel="0" collapsed="false">
      <c r="B21" s="7" t="s">
        <v>35</v>
      </c>
      <c r="C21" s="8" t="n">
        <v>120</v>
      </c>
      <c r="D21" s="9" t="n">
        <f aca="false">C21*12</f>
        <v>1440</v>
      </c>
      <c r="E21" s="10" t="n">
        <f aca="false">IF($C$32=0,0,C21/$C$32)</f>
        <v>0</v>
      </c>
      <c r="F21" s="11" t="s">
        <v>36</v>
      </c>
    </row>
    <row r="22" customFormat="false" ht="15" hidden="false" customHeight="true" outlineLevel="0" collapsed="false">
      <c r="B22" s="7" t="s">
        <v>37</v>
      </c>
      <c r="C22" s="8" t="n">
        <v>350</v>
      </c>
      <c r="D22" s="9" t="n">
        <f aca="false">C22*12</f>
        <v>4200</v>
      </c>
      <c r="E22" s="10" t="n">
        <f aca="false">IF($C$32=0,0,C22/$C$32)</f>
        <v>0</v>
      </c>
      <c r="F22" s="11" t="s">
        <v>38</v>
      </c>
    </row>
    <row r="23" customFormat="false" ht="15" hidden="false" customHeight="true" outlineLevel="0" collapsed="false">
      <c r="B23" s="6" t="s">
        <v>39</v>
      </c>
      <c r="C23" s="6"/>
      <c r="D23" s="6"/>
      <c r="E23" s="6"/>
      <c r="F23" s="6"/>
    </row>
    <row r="24" customFormat="false" ht="15" hidden="false" customHeight="true" outlineLevel="0" collapsed="false">
      <c r="B24" s="7" t="s">
        <v>40</v>
      </c>
      <c r="C24" s="8" t="n">
        <v>300</v>
      </c>
      <c r="D24" s="9" t="n">
        <f aca="false">C24*12</f>
        <v>3600</v>
      </c>
      <c r="E24" s="10" t="n">
        <f aca="false">IF($C$32=0,0,C24/$C$32)</f>
        <v>0</v>
      </c>
      <c r="F24" s="11" t="s">
        <v>41</v>
      </c>
    </row>
    <row r="25" customFormat="false" ht="15" hidden="false" customHeight="true" outlineLevel="0" collapsed="false">
      <c r="B25" s="7" t="s">
        <v>42</v>
      </c>
      <c r="C25" s="8" t="n">
        <v>200</v>
      </c>
      <c r="D25" s="9" t="n">
        <f aca="false">C25*12</f>
        <v>2400</v>
      </c>
      <c r="E25" s="10" t="n">
        <f aca="false">IF($C$32=0,0,C25/$C$32)</f>
        <v>0</v>
      </c>
      <c r="F25" s="11" t="s">
        <v>43</v>
      </c>
    </row>
    <row r="26" customFormat="false" ht="15" hidden="false" customHeight="true" outlineLevel="0" collapsed="false">
      <c r="B26" s="7" t="s">
        <v>44</v>
      </c>
      <c r="C26" s="8" t="n">
        <v>150</v>
      </c>
      <c r="D26" s="9" t="n">
        <f aca="false">C26*12</f>
        <v>1800</v>
      </c>
      <c r="E26" s="10" t="n">
        <f aca="false">IF($C$32=0,0,C26/$C$32)</f>
        <v>0</v>
      </c>
      <c r="F26" s="11" t="s">
        <v>45</v>
      </c>
    </row>
    <row r="27" customFormat="false" ht="15" hidden="false" customHeight="true" outlineLevel="0" collapsed="false">
      <c r="B27" s="7" t="s">
        <v>46</v>
      </c>
      <c r="C27" s="8" t="n">
        <v>50</v>
      </c>
      <c r="D27" s="9" t="n">
        <f aca="false">C27*12</f>
        <v>600</v>
      </c>
      <c r="E27" s="10" t="n">
        <f aca="false">IF($C$32=0,0,C27/$C$32)</f>
        <v>0</v>
      </c>
      <c r="F27" s="11" t="s">
        <v>47</v>
      </c>
    </row>
    <row r="28" customFormat="false" ht="15" hidden="false" customHeight="true" outlineLevel="0" collapsed="false">
      <c r="B28" s="6" t="s">
        <v>48</v>
      </c>
      <c r="C28" s="6"/>
      <c r="D28" s="6"/>
      <c r="E28" s="6"/>
      <c r="F28" s="6"/>
    </row>
    <row r="29" customFormat="false" ht="15" hidden="false" customHeight="true" outlineLevel="0" collapsed="false">
      <c r="B29" s="7" t="s">
        <v>49</v>
      </c>
      <c r="C29" s="8" t="n">
        <v>250</v>
      </c>
      <c r="D29" s="9" t="n">
        <f aca="false">C29*12</f>
        <v>3000</v>
      </c>
      <c r="E29" s="10" t="n">
        <f aca="false">IF($C$32=0,0,C29/$C$32)</f>
        <v>0</v>
      </c>
      <c r="F29" s="11" t="s">
        <v>50</v>
      </c>
    </row>
    <row r="30" customFormat="false" ht="15" hidden="false" customHeight="true" outlineLevel="0" collapsed="false">
      <c r="B30" s="7" t="s">
        <v>51</v>
      </c>
      <c r="C30" s="8" t="n">
        <v>50</v>
      </c>
      <c r="D30" s="9" t="n">
        <f aca="false">C30*12</f>
        <v>600</v>
      </c>
      <c r="E30" s="10" t="n">
        <f aca="false">IF($C$32=0,0,C30/$C$32)</f>
        <v>0</v>
      </c>
      <c r="F30" s="11"/>
    </row>
    <row r="31" customFormat="false" ht="19.5" hidden="false" customHeight="true" outlineLevel="0" collapsed="false">
      <c r="B31" s="12" t="s">
        <v>52</v>
      </c>
      <c r="C31" s="13" t="n">
        <f aca="false">C6+C7+C8+C10+C11+C12+C13+C14+C15+C16+C18+C19+C20+C21+C22+C24+C25+C26+C27+C29+C30</f>
        <v>9658</v>
      </c>
      <c r="D31" s="13" t="n">
        <f aca="false">C31*12</f>
        <v>115896</v>
      </c>
      <c r="E31" s="14" t="n">
        <f aca="false">SUM(E5:E30)</f>
        <v>0</v>
      </c>
      <c r="F31" s="12"/>
    </row>
  </sheetData>
  <mergeCells count="7">
    <mergeCell ref="B1:F1"/>
    <mergeCell ref="B2:F2"/>
    <mergeCell ref="B5:F5"/>
    <mergeCell ref="B9:F9"/>
    <mergeCell ref="B17:F17"/>
    <mergeCell ref="B23:F23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6" min="5" style="1" width="14"/>
    <col collapsed="false" customWidth="true" hidden="false" outlineLevel="0" max="7" min="7" style="1" width="24"/>
  </cols>
  <sheetData>
    <row r="1" customFormat="false" ht="25.5" hidden="false" customHeight="true" outlineLevel="0" collapsed="false">
      <c r="B1" s="2" t="s">
        <v>53</v>
      </c>
      <c r="C1" s="2"/>
      <c r="D1" s="2"/>
      <c r="E1" s="2"/>
      <c r="F1" s="2"/>
      <c r="G1" s="2"/>
    </row>
    <row r="2" customFormat="false" ht="15" hidden="false" customHeight="true" outlineLevel="0" collapsed="false">
      <c r="B2" s="3" t="s">
        <v>54</v>
      </c>
      <c r="C2" s="3"/>
      <c r="D2" s="3"/>
      <c r="E2" s="3"/>
      <c r="F2" s="3"/>
      <c r="G2" s="3"/>
    </row>
    <row r="4" customFormat="false" ht="21.75" hidden="false" customHeight="true" outlineLevel="0" collapsed="false">
      <c r="B4" s="5" t="s">
        <v>55</v>
      </c>
      <c r="C4" s="4" t="s">
        <v>56</v>
      </c>
      <c r="D4" s="4" t="s">
        <v>57</v>
      </c>
      <c r="E4" s="5" t="s">
        <v>58</v>
      </c>
      <c r="F4" s="5" t="s">
        <v>59</v>
      </c>
      <c r="G4" s="4" t="s">
        <v>60</v>
      </c>
    </row>
    <row r="5" customFormat="false" ht="15" hidden="false" customHeight="true" outlineLevel="0" collapsed="false">
      <c r="B5" s="15" t="s">
        <v>61</v>
      </c>
      <c r="C5" s="7" t="s">
        <v>62</v>
      </c>
      <c r="D5" s="7" t="s">
        <v>63</v>
      </c>
      <c r="E5" s="16" t="n">
        <v>1</v>
      </c>
      <c r="F5" s="8" t="n">
        <v>120</v>
      </c>
      <c r="G5" s="7" t="s">
        <v>64</v>
      </c>
    </row>
    <row r="6" customFormat="false" ht="15" hidden="false" customHeight="true" outlineLevel="0" collapsed="false">
      <c r="B6" s="15" t="s">
        <v>61</v>
      </c>
      <c r="C6" s="7" t="s">
        <v>65</v>
      </c>
      <c r="D6" s="7" t="s">
        <v>63</v>
      </c>
      <c r="E6" s="16" t="n">
        <v>1</v>
      </c>
      <c r="F6" s="8" t="n">
        <v>20</v>
      </c>
      <c r="G6" s="7" t="s">
        <v>64</v>
      </c>
    </row>
    <row r="7" customFormat="false" ht="15" hidden="false" customHeight="true" outlineLevel="0" collapsed="false">
      <c r="B7" s="15" t="s">
        <v>61</v>
      </c>
      <c r="C7" s="7" t="s">
        <v>66</v>
      </c>
      <c r="D7" s="7" t="s">
        <v>63</v>
      </c>
      <c r="E7" s="16" t="n">
        <v>1</v>
      </c>
      <c r="F7" s="8" t="n">
        <v>25</v>
      </c>
      <c r="G7" s="7" t="s">
        <v>64</v>
      </c>
    </row>
    <row r="8" customFormat="false" ht="15" hidden="false" customHeight="true" outlineLevel="0" collapsed="false">
      <c r="B8" s="15" t="s">
        <v>61</v>
      </c>
      <c r="C8" s="7" t="s">
        <v>67</v>
      </c>
      <c r="D8" s="7" t="s">
        <v>63</v>
      </c>
      <c r="E8" s="16" t="n">
        <v>1</v>
      </c>
      <c r="F8" s="8" t="n">
        <v>4</v>
      </c>
      <c r="G8" s="7" t="s">
        <v>64</v>
      </c>
    </row>
    <row r="9" customFormat="false" ht="15" hidden="false" customHeight="true" outlineLevel="0" collapsed="false">
      <c r="B9" s="15" t="s">
        <v>68</v>
      </c>
      <c r="C9" s="7" t="s">
        <v>69</v>
      </c>
      <c r="D9" s="7" t="s">
        <v>70</v>
      </c>
      <c r="E9" s="16" t="n">
        <v>1</v>
      </c>
      <c r="F9" s="8" t="n">
        <v>40</v>
      </c>
      <c r="G9" s="7" t="s">
        <v>71</v>
      </c>
    </row>
    <row r="10" customFormat="false" ht="15" hidden="false" customHeight="true" outlineLevel="0" collapsed="false">
      <c r="B10" s="15" t="s">
        <v>68</v>
      </c>
      <c r="C10" s="7" t="s">
        <v>72</v>
      </c>
      <c r="D10" s="7" t="s">
        <v>73</v>
      </c>
      <c r="E10" s="16" t="n">
        <v>1</v>
      </c>
      <c r="F10" s="8" t="n">
        <v>60</v>
      </c>
      <c r="G10" s="7" t="s">
        <v>74</v>
      </c>
    </row>
    <row r="11" customFormat="false" ht="15" hidden="false" customHeight="true" outlineLevel="0" collapsed="false">
      <c r="B11" s="15" t="s">
        <v>68</v>
      </c>
      <c r="C11" s="7" t="s">
        <v>75</v>
      </c>
      <c r="D11" s="7" t="s">
        <v>76</v>
      </c>
      <c r="E11" s="16" t="n">
        <v>1</v>
      </c>
      <c r="F11" s="8" t="n">
        <v>200</v>
      </c>
      <c r="G11" s="7" t="s">
        <v>74</v>
      </c>
    </row>
    <row r="12" customFormat="false" ht="15" hidden="false" customHeight="true" outlineLevel="0" collapsed="false">
      <c r="B12" s="15" t="s">
        <v>68</v>
      </c>
      <c r="C12" s="7" t="s">
        <v>77</v>
      </c>
      <c r="D12" s="7" t="s">
        <v>73</v>
      </c>
      <c r="E12" s="16" t="n">
        <v>1</v>
      </c>
      <c r="F12" s="8" t="n">
        <v>30</v>
      </c>
      <c r="G12" s="7" t="s">
        <v>74</v>
      </c>
    </row>
    <row r="13" customFormat="false" ht="15" hidden="false" customHeight="true" outlineLevel="0" collapsed="false">
      <c r="B13" s="15" t="s">
        <v>68</v>
      </c>
      <c r="C13" s="7" t="s">
        <v>78</v>
      </c>
      <c r="D13" s="7" t="s">
        <v>79</v>
      </c>
      <c r="E13" s="16" t="n">
        <v>1</v>
      </c>
      <c r="F13" s="8" t="n">
        <v>75</v>
      </c>
      <c r="G13" s="7" t="s">
        <v>71</v>
      </c>
    </row>
    <row r="14" customFormat="false" ht="15" hidden="false" customHeight="true" outlineLevel="0" collapsed="false">
      <c r="B14" s="7"/>
      <c r="C14" s="7"/>
      <c r="D14" s="7"/>
      <c r="E14" s="17"/>
      <c r="F14" s="18"/>
      <c r="G14" s="7"/>
    </row>
    <row r="15" customFormat="false" ht="15" hidden="false" customHeight="true" outlineLevel="0" collapsed="false">
      <c r="B15" s="7"/>
      <c r="C15" s="7"/>
      <c r="D15" s="7"/>
      <c r="E15" s="17"/>
      <c r="F15" s="18"/>
      <c r="G15" s="7"/>
    </row>
    <row r="16" customFormat="false" ht="15" hidden="false" customHeight="true" outlineLevel="0" collapsed="false">
      <c r="B16" s="7"/>
      <c r="C16" s="7"/>
      <c r="D16" s="7"/>
      <c r="E16" s="17"/>
      <c r="F16" s="18"/>
      <c r="G16" s="7"/>
    </row>
    <row r="17" customFormat="false" ht="15" hidden="false" customHeight="true" outlineLevel="0" collapsed="false">
      <c r="B17" s="7"/>
      <c r="C17" s="7"/>
      <c r="D17" s="7"/>
      <c r="E17" s="17"/>
      <c r="F17" s="18"/>
      <c r="G17" s="7"/>
    </row>
    <row r="18" customFormat="false" ht="15" hidden="false" customHeight="true" outlineLevel="0" collapsed="false">
      <c r="B18" s="7"/>
      <c r="C18" s="7"/>
      <c r="D18" s="7"/>
      <c r="E18" s="17"/>
      <c r="F18" s="18"/>
      <c r="G18" s="7"/>
    </row>
    <row r="19" customFormat="false" ht="15" hidden="false" customHeight="true" outlineLevel="0" collapsed="false">
      <c r="B19" s="7"/>
      <c r="C19" s="7"/>
      <c r="D19" s="7"/>
      <c r="E19" s="17"/>
      <c r="F19" s="18"/>
      <c r="G19" s="7"/>
    </row>
    <row r="20" customFormat="false" ht="19.5" hidden="false" customHeight="true" outlineLevel="0" collapsed="false">
      <c r="B20" s="12" t="s">
        <v>80</v>
      </c>
      <c r="C20" s="12"/>
      <c r="D20" s="12"/>
      <c r="E20" s="12"/>
      <c r="F20" s="13" t="n">
        <f aca="false">SUM(F5:F19)</f>
        <v>574</v>
      </c>
      <c r="G20" s="12"/>
    </row>
    <row r="22" customFormat="false" ht="25.5" hidden="false" customHeight="true" outlineLevel="0" collapsed="false">
      <c r="B22" s="19" t="s">
        <v>81</v>
      </c>
      <c r="C22" s="19"/>
      <c r="D22" s="19"/>
      <c r="E22" s="19"/>
      <c r="F22" s="19"/>
      <c r="G22" s="19"/>
    </row>
    <row r="24" customFormat="false" ht="21.75" hidden="false" customHeight="true" outlineLevel="0" collapsed="false">
      <c r="B24" s="20" t="s">
        <v>82</v>
      </c>
      <c r="C24" s="20"/>
      <c r="D24" s="20"/>
      <c r="E24" s="20"/>
      <c r="F24" s="20"/>
      <c r="G24" s="20"/>
    </row>
    <row r="25" customFormat="false" ht="15" hidden="false" customHeight="true" outlineLevel="0" collapsed="false">
      <c r="B25" s="21"/>
      <c r="C25" s="4" t="s">
        <v>83</v>
      </c>
      <c r="D25" s="4" t="s">
        <v>84</v>
      </c>
      <c r="E25" s="5" t="s">
        <v>85</v>
      </c>
      <c r="F25" s="5" t="s">
        <v>59</v>
      </c>
      <c r="G25" s="4" t="s">
        <v>86</v>
      </c>
    </row>
    <row r="26" customFormat="false" ht="15" hidden="false" customHeight="true" outlineLevel="0" collapsed="false">
      <c r="B26" s="22"/>
      <c r="C26" s="22" t="s">
        <v>87</v>
      </c>
      <c r="D26" s="22" t="s">
        <v>64</v>
      </c>
      <c r="E26" s="15" t="s">
        <v>3</v>
      </c>
      <c r="F26" s="8" t="n">
        <v>5000</v>
      </c>
      <c r="G26" s="22" t="s">
        <v>88</v>
      </c>
    </row>
    <row r="27" customFormat="false" ht="15" hidden="false" customHeight="true" outlineLevel="0" collapsed="false">
      <c r="B27" s="22"/>
      <c r="C27" s="22" t="s">
        <v>87</v>
      </c>
      <c r="D27" s="22" t="s">
        <v>89</v>
      </c>
      <c r="E27" s="15" t="s">
        <v>3</v>
      </c>
      <c r="F27" s="8" t="n">
        <v>1500</v>
      </c>
      <c r="G27" s="22" t="s">
        <v>90</v>
      </c>
    </row>
    <row r="28" customFormat="false" ht="15" hidden="false" customHeight="true" outlineLevel="0" collapsed="false">
      <c r="B28" s="22"/>
      <c r="C28" s="22" t="s">
        <v>87</v>
      </c>
      <c r="D28" s="22" t="s">
        <v>91</v>
      </c>
      <c r="E28" s="15" t="s">
        <v>3</v>
      </c>
      <c r="F28" s="8" t="n">
        <v>5000</v>
      </c>
      <c r="G28" s="22" t="s">
        <v>88</v>
      </c>
    </row>
    <row r="29" customFormat="false" ht="15" hidden="false" customHeight="true" outlineLevel="0" collapsed="false">
      <c r="B29" s="22"/>
      <c r="C29" s="22" t="s">
        <v>92</v>
      </c>
      <c r="D29" s="22" t="s">
        <v>64</v>
      </c>
      <c r="E29" s="15" t="s">
        <v>93</v>
      </c>
      <c r="F29" s="8" t="n">
        <v>3500</v>
      </c>
      <c r="G29" s="22" t="s">
        <v>94</v>
      </c>
    </row>
    <row r="30" customFormat="false" ht="15" hidden="false" customHeight="true" outlineLevel="0" collapsed="false">
      <c r="B30" s="22"/>
      <c r="C30" s="22" t="s">
        <v>92</v>
      </c>
      <c r="D30" s="22" t="s">
        <v>95</v>
      </c>
      <c r="E30" s="15" t="s">
        <v>96</v>
      </c>
      <c r="F30" s="8" t="n">
        <v>3500</v>
      </c>
      <c r="G30" s="22" t="s">
        <v>97</v>
      </c>
    </row>
    <row r="31" customFormat="false" ht="15" hidden="false" customHeight="true" outlineLevel="0" collapsed="false">
      <c r="B31" s="22"/>
      <c r="C31" s="22" t="s">
        <v>98</v>
      </c>
      <c r="D31" s="22" t="s">
        <v>99</v>
      </c>
      <c r="E31" s="15" t="s">
        <v>100</v>
      </c>
      <c r="F31" s="8" t="n">
        <v>2500</v>
      </c>
      <c r="G31" s="22" t="s">
        <v>101</v>
      </c>
    </row>
    <row r="32" customFormat="false" ht="15" hidden="false" customHeight="true" outlineLevel="0" collapsed="false">
      <c r="B32" s="23"/>
      <c r="C32" s="23" t="s">
        <v>102</v>
      </c>
      <c r="D32" s="23"/>
      <c r="E32" s="23"/>
      <c r="F32" s="24" t="n">
        <f aca="false">F26+F27+F28+F31</f>
        <v>14000</v>
      </c>
      <c r="G32" s="23"/>
    </row>
    <row r="34" customFormat="false" ht="39.75" hidden="false" customHeight="true" outlineLevel="0" collapsed="false">
      <c r="B34" s="25" t="s">
        <v>103</v>
      </c>
      <c r="C34" s="25"/>
      <c r="D34" s="25"/>
      <c r="E34" s="25"/>
      <c r="F34" s="25"/>
      <c r="G34" s="25"/>
    </row>
  </sheetData>
  <mergeCells count="5">
    <mergeCell ref="B1:G1"/>
    <mergeCell ref="B2:G2"/>
    <mergeCell ref="B22:G22"/>
    <mergeCell ref="B24:G24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2026-06-25T14:10:14Z</dcterms:created>
  <dc:creator>openpyxl</dc:creator>
  <dc:description/>
  <dc:language>en-US</dc:language>
  <cp:lastModifiedBy/>
  <dcterms:modified xsi:type="dcterms:W3CDTF">2026-06-26T20:39:21Z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